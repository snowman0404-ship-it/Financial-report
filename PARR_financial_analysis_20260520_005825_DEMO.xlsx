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i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7F6000"/>
      <sz val="10"/>
    </font>
    <font>
      <name val="Calibri"/>
      <i val="1"/>
      <color rgb="007F6000"/>
      <sz val="8"/>
    </font>
    <font>
      <name val="Calibri"/>
      <i val="1"/>
      <sz val="10"/>
    </font>
    <font>
      <name val="Calibri"/>
      <i val="1"/>
      <color rgb="00595959"/>
      <sz val="9"/>
    </font>
    <font>
      <name val="Calibri"/>
      <b val="1"/>
      <color rgb="00FFFFFF"/>
      <sz val="16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C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D2D2"/>
      </patternFill>
    </fill>
    <fill>
      <patternFill patternType="solid">
        <fgColor rgb="00FFFACD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8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8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18" customWidth="1" min="5" max="5"/>
    <col width="14" customWidth="1" min="6" max="6"/>
    <col width="3" customWidth="1" min="7" max="7"/>
  </cols>
  <sheetData>
    <row r="1" ht="36" customHeight="1">
      <c r="A1" s="1" t="inlineStr">
        <is>
          <t>Financial Health Dashboard  |  PARR Inc. [DEMO DATA] (PARR)</t>
        </is>
      </c>
    </row>
    <row r="2" ht="16" customHeight="1">
      <c r="A2" s="2" t="inlineStr">
        <is>
          <t>Generated: 2026-05-20 00:58  |  CIK: 0001378590  |  Source: SEC EDGAR XBRL</t>
        </is>
      </c>
    </row>
    <row r="4" ht="22" customHeight="1">
      <c r="A4" s="3" t="inlineStr">
        <is>
          <t>🏢  Company Information</t>
        </is>
      </c>
    </row>
    <row r="5" ht="17" customHeight="1">
      <c r="B5" s="4" t="inlineStr">
        <is>
          <t>Company Name</t>
        </is>
      </c>
      <c r="C5" s="5" t="inlineStr">
        <is>
          <t>PARR Inc. [DEMO DATA]</t>
        </is>
      </c>
      <c r="D5" s="6" t="n"/>
      <c r="E5" s="6" t="n"/>
      <c r="F5" s="6" t="n"/>
      <c r="G5" s="7" t="n"/>
    </row>
    <row r="6" ht="17" customHeight="1">
      <c r="B6" s="4" t="inlineStr">
        <is>
          <t>Ticker Symbol</t>
        </is>
      </c>
      <c r="C6" s="5" t="inlineStr">
        <is>
          <t>PARR</t>
        </is>
      </c>
      <c r="D6" s="6" t="n"/>
      <c r="E6" s="6" t="n"/>
      <c r="F6" s="6" t="n"/>
      <c r="G6" s="7" t="n"/>
    </row>
    <row r="7" ht="17" customHeight="1">
      <c r="B7" s="4" t="inlineStr">
        <is>
          <t>CIK (SEC)</t>
        </is>
      </c>
      <c r="C7" s="5" t="inlineStr">
        <is>
          <t>0001378590</t>
        </is>
      </c>
      <c r="D7" s="6" t="n"/>
      <c r="E7" s="6" t="n"/>
      <c r="F7" s="6" t="n"/>
      <c r="G7" s="7" t="n"/>
    </row>
    <row r="8" ht="17" customHeight="1">
      <c r="B8" s="4" t="inlineStr">
        <is>
          <t>Data Source</t>
        </is>
      </c>
      <c r="C8" s="5" t="inlineStr">
        <is>
          <t>SEC EDGAR XBRL API (data.sec.gov)</t>
        </is>
      </c>
      <c r="D8" s="6" t="n"/>
      <c r="E8" s="6" t="n"/>
      <c r="F8" s="6" t="n"/>
      <c r="G8" s="7" t="n"/>
    </row>
    <row r="9" ht="17" customHeight="1">
      <c r="B9" s="4" t="inlineStr">
        <is>
          <t>Analysis Date</t>
        </is>
      </c>
      <c r="C9" s="5" t="inlineStr">
        <is>
          <t>2026-05-20</t>
        </is>
      </c>
      <c r="D9" s="6" t="n"/>
      <c r="E9" s="6" t="n"/>
      <c r="F9" s="6" t="n"/>
      <c r="G9" s="7" t="n"/>
    </row>
    <row r="10" ht="17" customHeight="1">
      <c r="B10" s="4" t="inlineStr">
        <is>
          <t>Reporting Currency</t>
        </is>
      </c>
      <c r="C10" s="5" t="inlineStr">
        <is>
          <t>USD</t>
        </is>
      </c>
      <c r="D10" s="6" t="n"/>
      <c r="E10" s="6" t="n"/>
      <c r="F10" s="6" t="n"/>
      <c r="G10" s="7" t="n"/>
    </row>
    <row r="11" ht="17" customHeight="1">
      <c r="B11" s="4" t="inlineStr">
        <is>
          <t>Amount Unit</t>
        </is>
      </c>
      <c r="C11" s="5" t="inlineStr">
        <is>
          <t>USD Millions (M)</t>
        </is>
      </c>
      <c r="D11" s="6" t="n"/>
      <c r="E11" s="6" t="n"/>
      <c r="F11" s="6" t="n"/>
      <c r="G11" s="7" t="n"/>
    </row>
    <row r="13" ht="22" customHeight="1">
      <c r="A13" s="3" t="inlineStr">
        <is>
          <t>📐  Key Financial Ratios (数式連携・自動計算)</t>
        </is>
      </c>
    </row>
    <row r="14" ht="22" customHeight="1">
      <c r="A14" s="8" t="inlineStr"/>
      <c r="B14" s="8" t="inlineStr">
        <is>
          <t>Ratio</t>
        </is>
      </c>
      <c r="C14" s="8" t="inlineStr">
        <is>
          <t>Current Value</t>
        </is>
      </c>
      <c r="D14" s="8" t="inlineStr">
        <is>
          <t>Prior Value</t>
        </is>
      </c>
      <c r="E14" s="8" t="inlineStr">
        <is>
          <t>Change</t>
        </is>
      </c>
      <c r="F14" s="8" t="inlineStr">
        <is>
          <t>Status</t>
        </is>
      </c>
      <c r="G14" s="8" t="inlineStr"/>
    </row>
    <row r="15" ht="18" customHeight="1">
      <c r="A15" s="9" t="n"/>
      <c r="B15" s="5" t="inlineStr">
        <is>
          <t>Current Ratio (流動比率)</t>
        </is>
      </c>
      <c r="C15" s="10">
        <f>'Financial Data'!C18/'Financial Data'!C17</f>
        <v/>
      </c>
      <c r="D15" s="10">
        <f>'Financial Data'!D18/'Financial Data'!D17</f>
        <v/>
      </c>
      <c r="E15" s="10">
        <f>C15-D15</f>
        <v/>
      </c>
      <c r="F15" s="11">
        <f>IF(C15&lt;1,"⚠️ &lt;1.0 Low",IF(C15&lt;1.5,"⚡ Moderate","✅ Healthy"))</f>
        <v/>
      </c>
      <c r="G15" s="9" t="n"/>
    </row>
    <row r="16" ht="18" customHeight="1">
      <c r="A16" s="9" t="n"/>
      <c r="B16" s="5" t="inlineStr">
        <is>
          <t>Equity Ratio / 自己資本比率 (StockholdersEquity / TotalAssets)</t>
        </is>
      </c>
      <c r="C16" s="12">
        <f>'Financial Data'!C21/('Financial Data'!C18+'Financial Data'!C20)</f>
        <v/>
      </c>
      <c r="D16" s="12">
        <f>'Financial Data'!D21/('Financial Data'!D18+'Financial Data'!D20)</f>
        <v/>
      </c>
      <c r="E16" s="12">
        <f>C16-D16</f>
        <v/>
      </c>
      <c r="F16" s="13">
        <f>IF(C16&lt;0.1,"⚠️ &lt;10% Critical",IF(C16&lt;0.3,"⚡ &lt;30% Low","✅ Healthy"))</f>
        <v/>
      </c>
      <c r="G16" s="9" t="n"/>
    </row>
    <row r="18" ht="26" customHeight="1">
      <c r="A18" s="14" t="inlineStr">
        <is>
          <t>🚨  Bankruptcy / Cash Flow Risk Alert (倒産予兆・資金繰りリスク判定)</t>
        </is>
      </c>
    </row>
    <row r="19" ht="22" customHeight="1">
      <c r="A19" s="8" t="inlineStr"/>
      <c r="B19" s="8" t="inlineStr">
        <is>
          <t>Indicator</t>
        </is>
      </c>
      <c r="C19" s="8" t="inlineStr">
        <is>
          <t>Result</t>
        </is>
      </c>
      <c r="D19" s="8" t="inlineStr">
        <is>
          <t>Threshold</t>
        </is>
      </c>
      <c r="E19" s="8" t="inlineStr">
        <is>
          <t>Status</t>
        </is>
      </c>
      <c r="F19" s="8" t="inlineStr"/>
      <c r="G19" s="8" t="inlineStr"/>
    </row>
    <row r="20" ht="18" customHeight="1">
      <c r="A20" s="9" t="n"/>
      <c r="B20" s="5" t="inlineStr">
        <is>
          <t>Cash QoQ Change (手元資金 前四半期比)</t>
        </is>
      </c>
      <c r="C20" s="15" t="inlineStr">
        <is>
          <t>-43.8%  (320.0M → 180.0M)</t>
        </is>
      </c>
      <c r="D20" s="16" t="inlineStr">
        <is>
          <t>Warn if &lt; -20%</t>
        </is>
      </c>
      <c r="E20" s="11" t="inlineStr">
        <is>
          <t>⚠️ Cash Drop &gt; 20%!</t>
        </is>
      </c>
      <c r="F20" s="9" t="n"/>
      <c r="G20" s="9" t="n"/>
    </row>
    <row r="21" ht="18" customHeight="1">
      <c r="A21" s="9" t="n"/>
      <c r="B21" s="5" t="inlineStr">
        <is>
          <t>Current Liabilities QoQ Change (流動負債 前四半期比)</t>
        </is>
      </c>
      <c r="C21" s="15" t="inlineStr">
        <is>
          <t>+26.7%  (750.0M → 950.0M)</t>
        </is>
      </c>
      <c r="D21" s="16" t="inlineStr">
        <is>
          <t>Warn if &gt; +20%</t>
        </is>
      </c>
      <c r="E21" s="11" t="inlineStr">
        <is>
          <t>⚠️ CL Surge &gt; 20%!</t>
        </is>
      </c>
      <c r="F21" s="9" t="n"/>
      <c r="G21" s="9" t="n"/>
    </row>
    <row r="22" ht="18" customHeight="1">
      <c r="A22" s="9" t="n"/>
      <c r="B22" s="5" t="inlineStr">
        <is>
          <t>Stockholders' Equity QoQ Change (株主資本 前四半期比)</t>
        </is>
      </c>
      <c r="C22" s="15" t="inlineStr">
        <is>
          <t>-26.3%  (570.0M → 420.0M)</t>
        </is>
      </c>
      <c r="D22" s="16" t="inlineStr">
        <is>
          <t>Warn if &lt; -20%</t>
        </is>
      </c>
      <c r="E22" s="11" t="inlineStr">
        <is>
          <t>⚠️ Equity Erosion &gt; 20%!</t>
        </is>
      </c>
      <c r="F22" s="9" t="n"/>
      <c r="G22" s="9" t="n"/>
    </row>
    <row r="24" ht="22" customHeight="1">
      <c r="A24" s="17" t="inlineStr">
        <is>
          <t>総合リスク判定 / Overall Risk Verdict</t>
        </is>
      </c>
    </row>
    <row r="25" ht="40" customHeight="1">
      <c r="A25" s="18" t="inlineStr">
        <is>
          <t>【 ⚠️ 黒字倒産・資金繰り悪化の予兆あり 】  Cash shrinking while liabilities surge or equity is eroding. Immediate review recommended.</t>
        </is>
      </c>
    </row>
    <row r="27" ht="16" customHeight="1">
      <c r="A27" s="19" t="inlineStr">
        <is>
          <t>※ 免責事項：本ツールはSEC EDGAR公開データに基づく自動分析です。投資判断は必ず一次情報（10-Q/10-K）および専門家の意見をご確認ください。</t>
        </is>
      </c>
    </row>
  </sheetData>
  <mergeCells count="18">
    <mergeCell ref="A13:G13"/>
    <mergeCell ref="C7:G7"/>
    <mergeCell ref="A1:G1"/>
    <mergeCell ref="A18:G18"/>
    <mergeCell ref="A27:G27"/>
    <mergeCell ref="C6:G6"/>
    <mergeCell ref="C10:G10"/>
    <mergeCell ref="B21"/>
    <mergeCell ref="A4:G4"/>
    <mergeCell ref="C11:G11"/>
    <mergeCell ref="C5:G5"/>
    <mergeCell ref="A2:G2"/>
    <mergeCell ref="B20"/>
    <mergeCell ref="A24:G24"/>
    <mergeCell ref="A25:G25"/>
    <mergeCell ref="B22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20" t="inlineStr">
        <is>
          <t>SEC EDGAR Financial Analysis  |  PARR Inc. [DEMO DATA] (PARR)</t>
        </is>
      </c>
    </row>
    <row r="2" ht="16" customHeight="1">
      <c r="A2" s="2" t="inlineStr">
        <is>
          <t>Generated: 2026-05-20 00:58   | Source: SEC EDGAR XBRL API   | Amounts in USD millions (M)</t>
        </is>
      </c>
    </row>
    <row r="4" ht="22" customHeight="1">
      <c r="A4" s="3" t="inlineStr">
        <is>
          <t>📊  INCOME STATEMENT (P&amp;L) — Quarterly YoY Comparison</t>
        </is>
      </c>
    </row>
    <row r="5" ht="40" customHeight="1">
      <c r="A5" s="8" t="inlineStr"/>
      <c r="B5" s="8" t="inlineStr">
        <is>
          <t>Metric</t>
        </is>
      </c>
      <c r="C5" s="8" t="inlineStr">
        <is>
          <t>Current
(2024-09-30)
[USD M]</t>
        </is>
      </c>
      <c r="D5" s="8" t="inlineStr">
        <is>
          <t>Prior Year
(2023-09-30)
[USD M]</t>
        </is>
      </c>
      <c r="E5" s="8" t="inlineStr">
        <is>
          <t>Δ Amount
[USD M]</t>
        </is>
      </c>
      <c r="F5" s="8" t="inlineStr">
        <is>
          <t>Δ %</t>
        </is>
      </c>
      <c r="G5" s="8" t="inlineStr">
        <is>
          <t>Alert</t>
        </is>
      </c>
    </row>
    <row r="6" ht="18" customHeight="1">
      <c r="A6" s="21" t="inlineStr">
        <is>
          <t>ℹ</t>
        </is>
      </c>
      <c r="B6" s="5" t="inlineStr">
        <is>
          <t>Revenues (売上高)</t>
        </is>
      </c>
      <c r="C6" s="22" t="n">
        <v>2150</v>
      </c>
      <c r="D6" s="22" t="n">
        <v>2450</v>
      </c>
      <c r="E6" s="22">
        <f>C6-D6</f>
        <v/>
      </c>
      <c r="F6" s="23">
        <f>IF(D6=0,"",(C6-D6)/D6)</f>
        <v/>
      </c>
      <c r="G6" s="24" t="inlineStr">
        <is>
          <t>✅ Normal</t>
        </is>
      </c>
    </row>
    <row r="7" ht="18" customHeight="1">
      <c r="A7" s="21" t="inlineStr">
        <is>
          <t>ℹ</t>
        </is>
      </c>
      <c r="B7" s="5" t="inlineStr">
        <is>
          <t>Operating Expenses (営業費用)</t>
        </is>
      </c>
      <c r="C7" s="22" t="n">
        <v>2050</v>
      </c>
      <c r="D7" s="22" t="n">
        <v>2200</v>
      </c>
      <c r="E7" s="22">
        <f>C7-D7</f>
        <v/>
      </c>
      <c r="F7" s="23">
        <f>IF(D7=0,"",(C7-D7)/D7)</f>
        <v/>
      </c>
      <c r="G7" s="24" t="inlineStr">
        <is>
          <t>✅ Normal</t>
        </is>
      </c>
    </row>
    <row r="8" ht="18" customHeight="1">
      <c r="A8" s="21" t="inlineStr">
        <is>
          <t>ℹ</t>
        </is>
      </c>
      <c r="B8" s="25" t="inlineStr">
        <is>
          <t>Operating Income/Loss (営業利益)</t>
        </is>
      </c>
      <c r="C8" s="26" t="n">
        <v>100</v>
      </c>
      <c r="D8" s="26" t="n">
        <v>250</v>
      </c>
      <c r="E8" s="26">
        <f>C8-D8</f>
        <v/>
      </c>
      <c r="F8" s="27">
        <f>IF(D8=0,"",(C8-D8)/D8)</f>
        <v/>
      </c>
      <c r="G8" s="11" t="inlineStr">
        <is>
          <t>⚠️ -20%↓ Drop</t>
        </is>
      </c>
    </row>
    <row r="9" ht="18" customHeight="1">
      <c r="A9" s="21" t="inlineStr">
        <is>
          <t>ℹ</t>
        </is>
      </c>
      <c r="B9" s="5" t="inlineStr">
        <is>
          <t>Non-Operating Income/Expense (金融損益)</t>
        </is>
      </c>
      <c r="C9" s="22" t="n">
        <v>-45</v>
      </c>
      <c r="D9" s="22" t="n">
        <v>-40</v>
      </c>
      <c r="E9" s="22">
        <f>C9-D9</f>
        <v/>
      </c>
      <c r="F9" s="23">
        <f>IF(D9=0,"",(C9-D9)/D9)</f>
        <v/>
      </c>
      <c r="G9" s="24" t="inlineStr">
        <is>
          <t>✅ Normal</t>
        </is>
      </c>
    </row>
    <row r="10" ht="18" customHeight="1">
      <c r="A10" s="21" t="inlineStr">
        <is>
          <t>ℹ</t>
        </is>
      </c>
      <c r="B10" s="25" t="inlineStr">
        <is>
          <t>Income Before Tax (税引前利益)</t>
        </is>
      </c>
      <c r="C10" s="26" t="n">
        <v>55</v>
      </c>
      <c r="D10" s="26" t="n">
        <v>210</v>
      </c>
      <c r="E10" s="26">
        <f>C10-D10</f>
        <v/>
      </c>
      <c r="F10" s="27">
        <f>IF(D10=0,"",(C10-D10)/D10)</f>
        <v/>
      </c>
      <c r="G10" s="11" t="inlineStr">
        <is>
          <t>⚠️ -20%↓ Drop</t>
        </is>
      </c>
    </row>
    <row r="11" ht="18" customHeight="1">
      <c r="A11" s="21" t="inlineStr">
        <is>
          <t>ℹ</t>
        </is>
      </c>
      <c r="B11" s="25" t="inlineStr">
        <is>
          <t>Net Income/Loss (純利益)</t>
        </is>
      </c>
      <c r="C11" s="26" t="n">
        <v>35</v>
      </c>
      <c r="D11" s="26" t="n">
        <v>160</v>
      </c>
      <c r="E11" s="26">
        <f>C11-D11</f>
        <v/>
      </c>
      <c r="F11" s="27">
        <f>IF(D11=0,"",(C11-D11)/D11)</f>
        <v/>
      </c>
      <c r="G11" s="11" t="inlineStr">
        <is>
          <t>⚠️ -20%↓ Drop</t>
        </is>
      </c>
    </row>
    <row r="12" ht="28" customHeight="1">
      <c r="A12" s="13" t="inlineStr">
        <is>
          <t>★</t>
        </is>
      </c>
      <c r="B12" s="28" t="inlineStr">
        <is>
          <t>Operating Income ex-Inventory Adj. (在庫影響除き営業利益) [Non-GAAP]</t>
        </is>
      </c>
      <c r="C12" s="29" t="inlineStr">
        <is>
          <t>※ PARR等エネルギー企業では10-Q MD&amp;Aの「Inventory Valuation Adjustment」を確認し、手動で調整してください。</t>
        </is>
      </c>
    </row>
    <row r="14" ht="22" customHeight="1">
      <c r="A14" s="3" t="inlineStr">
        <is>
          <t>🏦  BALANCE SHEET — Quarter-over-Quarter (QoQ) Comparison</t>
        </is>
      </c>
    </row>
    <row r="15" ht="40" customHeight="1">
      <c r="A15" s="8" t="inlineStr"/>
      <c r="B15" s="8" t="inlineStr">
        <is>
          <t>Metric</t>
        </is>
      </c>
      <c r="C15" s="8" t="inlineStr">
        <is>
          <t>Current QE
(2024-09-30)
[USD M]</t>
        </is>
      </c>
      <c r="D15" s="8" t="inlineStr">
        <is>
          <t>Prior QE
(2024-06-30)
[USD M]</t>
        </is>
      </c>
      <c r="E15" s="8" t="inlineStr">
        <is>
          <t>Δ Amount
[USD M]</t>
        </is>
      </c>
      <c r="F15" s="8" t="inlineStr">
        <is>
          <t>Δ %</t>
        </is>
      </c>
      <c r="G15" s="8" t="inlineStr">
        <is>
          <t>Alert</t>
        </is>
      </c>
    </row>
    <row r="16" ht="18" customHeight="1">
      <c r="A16" s="30" t="n"/>
      <c r="B16" s="25" t="inlineStr">
        <is>
          <t>Cash &amp; Equivalents (手元資金)</t>
        </is>
      </c>
      <c r="C16" s="26" t="n">
        <v>180</v>
      </c>
      <c r="D16" s="26" t="n">
        <v>320</v>
      </c>
      <c r="E16" s="26">
        <f>C16-D16</f>
        <v/>
      </c>
      <c r="F16" s="27">
        <f>IF(D16=0,"",(C16-D16)/D16)</f>
        <v/>
      </c>
      <c r="G16" s="11" t="inlineStr">
        <is>
          <t>⚠️ -20%↓ Drop</t>
        </is>
      </c>
    </row>
    <row r="17" ht="18" customHeight="1">
      <c r="A17" s="30" t="n"/>
      <c r="B17" s="25" t="inlineStr">
        <is>
          <t>Current Liabilities (流動負債)</t>
        </is>
      </c>
      <c r="C17" s="26" t="n">
        <v>950</v>
      </c>
      <c r="D17" s="26" t="n">
        <v>750</v>
      </c>
      <c r="E17" s="26">
        <f>C17-D17</f>
        <v/>
      </c>
      <c r="F17" s="27">
        <f>IF(D17=0,"",(C17-D17)/D17)</f>
        <v/>
      </c>
      <c r="G17" s="11" t="inlineStr">
        <is>
          <t>⚠️ Liab +20%↑</t>
        </is>
      </c>
    </row>
    <row r="18" ht="18" customHeight="1">
      <c r="A18" s="30" t="n"/>
      <c r="B18" s="5" t="inlineStr">
        <is>
          <t>Current Assets (流動資産)</t>
        </is>
      </c>
      <c r="C18" s="22" t="n">
        <v>820</v>
      </c>
      <c r="D18" s="22" t="n">
        <v>900</v>
      </c>
      <c r="E18" s="22">
        <f>C18-D18</f>
        <v/>
      </c>
      <c r="F18" s="23">
        <f>IF(D18=0,"",(C18-D18)/D18)</f>
        <v/>
      </c>
      <c r="G18" s="24" t="inlineStr">
        <is>
          <t>✅ Normal</t>
        </is>
      </c>
    </row>
    <row r="19" ht="18" customHeight="1">
      <c r="A19" s="30" t="n"/>
      <c r="B19" s="5" t="inlineStr">
        <is>
          <t>Non-Current Liabilities / LT Debt (長期負債)</t>
        </is>
      </c>
      <c r="C19" s="22" t="n">
        <v>1200</v>
      </c>
      <c r="D19" s="22" t="n">
        <v>1180</v>
      </c>
      <c r="E19" s="22">
        <f>C19-D19</f>
        <v/>
      </c>
      <c r="F19" s="23">
        <f>IF(D19=0,"",(C19-D19)/D19)</f>
        <v/>
      </c>
      <c r="G19" s="24" t="inlineStr">
        <is>
          <t>✅ Normal</t>
        </is>
      </c>
    </row>
    <row r="20" ht="18" customHeight="1">
      <c r="A20" s="30" t="n"/>
      <c r="B20" s="5" t="inlineStr">
        <is>
          <t>Non-Current Assets / PP&amp;E (固定資産)</t>
        </is>
      </c>
      <c r="C20" s="22" t="n">
        <v>1850</v>
      </c>
      <c r="D20" s="22" t="n">
        <v>1900</v>
      </c>
      <c r="E20" s="22">
        <f>C20-D20</f>
        <v/>
      </c>
      <c r="F20" s="23">
        <f>IF(D20=0,"",(C20-D20)/D20)</f>
        <v/>
      </c>
      <c r="G20" s="24" t="inlineStr">
        <is>
          <t>✅ Normal</t>
        </is>
      </c>
    </row>
    <row r="21" ht="18" customHeight="1">
      <c r="A21" s="30" t="n"/>
      <c r="B21" s="25" t="inlineStr">
        <is>
          <t>Stockholders' Equity (株主資本)</t>
        </is>
      </c>
      <c r="C21" s="26" t="n">
        <v>420</v>
      </c>
      <c r="D21" s="26" t="n">
        <v>570</v>
      </c>
      <c r="E21" s="26">
        <f>C21-D21</f>
        <v/>
      </c>
      <c r="F21" s="27">
        <f>IF(D21=0,"",(C21-D21)/D21)</f>
        <v/>
      </c>
      <c r="G21" s="11" t="inlineStr">
        <is>
          <t>⚠️ -20%↓ Drop</t>
        </is>
      </c>
    </row>
    <row r="22" ht="18" customHeight="1">
      <c r="A22" s="30" t="n"/>
      <c r="B22" s="31" t="inlineStr">
        <is>
          <t>Other Current Assets (その他流動資産) = CurrentAssets − Cash</t>
        </is>
      </c>
      <c r="C22" s="22">
        <f>C18-C16</f>
        <v/>
      </c>
      <c r="D22" s="22">
        <f>D18-D16</f>
        <v/>
      </c>
      <c r="E22" s="22">
        <f>C22-D22</f>
        <v/>
      </c>
      <c r="F22" s="23">
        <f>IF(D22=0,"",(C22-D22)/D22)</f>
        <v/>
      </c>
      <c r="G22" s="24" t="inlineStr">
        <is>
          <t>(計算値)</t>
        </is>
      </c>
    </row>
    <row r="24" ht="16" customHeight="1">
      <c r="A24" s="19" t="inlineStr">
        <is>
          <t>[凡例] ⚠️ = Alert (20%以上の悪化)  |  ✅ = Normal  |  N/A = データ未取得  |  ★ = Non-GAAP（要手動確認）  |  Amounts in USD M (百万ドル単位)</t>
        </is>
      </c>
    </row>
  </sheetData>
  <mergeCells count="6">
    <mergeCell ref="A14:G14"/>
    <mergeCell ref="A1:G1"/>
    <mergeCell ref="C12:G12"/>
    <mergeCell ref="A4:G4"/>
    <mergeCell ref="A24:G2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2026-05-20T00:58:25Z</dcterms:created>
  <dcterms:modified xsi:type="dcterms:W3CDTF">2026-05-20T00:58:25Z</dcterms:modified>
</cp:coreProperties>
</file>